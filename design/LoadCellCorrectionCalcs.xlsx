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t\logi-wheel\design\"/>
    </mc:Choice>
  </mc:AlternateContent>
  <xr:revisionPtr revIDLastSave="0" documentId="13_ncr:1_{C5063CD4-9FB9-44C5-9C9F-F6C4BC05F97E}" xr6:coauthVersionLast="47" xr6:coauthVersionMax="47" xr10:uidLastSave="{00000000-0000-0000-0000-000000000000}"/>
  <bookViews>
    <workbookView xWindow="-28920" yWindow="5370" windowWidth="28110" windowHeight="16440" xr2:uid="{41D6D0AC-9AAD-4D5F-9F0B-06FE24592943}"/>
  </bookViews>
  <sheets>
    <sheet name="testing" sheetId="2" r:id="rId1"/>
    <sheet name="formulas" sheetId="1" r:id="rId2"/>
  </sheets>
  <definedNames>
    <definedName name="BRK_FULL">formulas!$G$3</definedName>
    <definedName name="BRK_OFF">formulas!$G$2</definedName>
    <definedName name="BRK_RANGE">formulas!$G$4</definedName>
    <definedName name="cA">formulas!$B$1</definedName>
    <definedName name="cB">formulas!$B$3</definedName>
    <definedName name="cC">formulas!$B$7</definedName>
    <definedName name="cutoff">formulas!$B$12</definedName>
    <definedName name="intA">formulas!$B$2</definedName>
    <definedName name="intB">formulas!$B$4</definedName>
    <definedName name="intC">formulas!$B$9</definedName>
    <definedName name="intD">formulas!$B$13</definedName>
    <definedName name="VCC">formulas!$G$1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2" l="1"/>
  <c r="E20" i="1"/>
  <c r="G20" i="1" s="1"/>
  <c r="G15" i="1"/>
  <c r="G16" i="1"/>
  <c r="G17" i="1"/>
  <c r="G18" i="1"/>
  <c r="G19" i="1"/>
  <c r="G14" i="1"/>
  <c r="E14" i="1"/>
  <c r="E15" i="1"/>
  <c r="E16" i="1"/>
  <c r="G4" i="1"/>
  <c r="B19" i="1"/>
  <c r="B18" i="1"/>
  <c r="B17" i="1"/>
  <c r="B7" i="1"/>
  <c r="B13" i="1" s="1"/>
  <c r="E19" i="1" s="1"/>
  <c r="E17" i="1" l="1"/>
  <c r="E18" i="1"/>
  <c r="B9" i="1"/>
  <c r="C17" i="1"/>
  <c r="C18" i="1"/>
  <c r="C19" i="1"/>
  <c r="D17" i="1"/>
  <c r="D18" i="1"/>
  <c r="D19" i="1"/>
</calcChain>
</file>

<file path=xl/sharedStrings.xml><?xml version="1.0" encoding="utf-8"?>
<sst xmlns="http://schemas.openxmlformats.org/spreadsheetml/2006/main" count="20" uniqueCount="20">
  <si>
    <t>coeffA</t>
  </si>
  <si>
    <t>intA</t>
  </si>
  <si>
    <t>coeffB</t>
  </si>
  <si>
    <t>intB</t>
  </si>
  <si>
    <t>cB/cA</t>
  </si>
  <si>
    <t>intB-(cB/cA)*intA</t>
  </si>
  <si>
    <t>cC</t>
  </si>
  <si>
    <t>intC</t>
  </si>
  <si>
    <t>cutoff</t>
  </si>
  <si>
    <t>intD</t>
  </si>
  <si>
    <t>V_VCC</t>
  </si>
  <si>
    <t>V_BRAKE_OFF</t>
  </si>
  <si>
    <t>V_BRAKE_FULL</t>
  </si>
  <si>
    <t>V_RANGE</t>
  </si>
  <si>
    <t>V at 
pedal</t>
  </si>
  <si>
    <t>Controller
raw value</t>
  </si>
  <si>
    <t>full stop</t>
  </si>
  <si>
    <t>pedal
 position OEM</t>
  </si>
  <si>
    <t>full press</t>
  </si>
  <si>
    <t>mid point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</si>
</sst>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3326042578011081E-2"/>
                  <c:y val="-8.09272642289576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testing!$A$5:$A$20</c:f>
              <c:numCache>
                <c:formatCode>General</c:formatCode>
                <c:ptCount val="16"/>
                <c:pt idx="0">
                  <c:v>255</c:v>
                </c:pt>
                <c:pt idx="1">
                  <c:v>243</c:v>
                </c:pt>
                <c:pt idx="2">
                  <c:v>234</c:v>
                </c:pt>
                <c:pt idx="3">
                  <c:v>224</c:v>
                </c:pt>
                <c:pt idx="4">
                  <c:v>212</c:v>
                </c:pt>
                <c:pt idx="5">
                  <c:v>205</c:v>
                </c:pt>
                <c:pt idx="6">
                  <c:v>183</c:v>
                </c:pt>
                <c:pt idx="7">
                  <c:v>161</c:v>
                </c:pt>
                <c:pt idx="8">
                  <c:v>141</c:v>
                </c:pt>
                <c:pt idx="9">
                  <c:v>123</c:v>
                </c:pt>
                <c:pt idx="10">
                  <c:v>97</c:v>
                </c:pt>
                <c:pt idx="11">
                  <c:v>77</c:v>
                </c:pt>
                <c:pt idx="12">
                  <c:v>58</c:v>
                </c:pt>
                <c:pt idx="13">
                  <c:v>34</c:v>
                </c:pt>
                <c:pt idx="14">
                  <c:v>20</c:v>
                </c:pt>
                <c:pt idx="15">
                  <c:v>0</c:v>
                </c:pt>
              </c:numCache>
            </c:numRef>
          </c:xVal>
          <c:yVal>
            <c:numRef>
              <c:f>testing!$B$5:$B$20</c:f>
              <c:numCache>
                <c:formatCode>General</c:formatCode>
                <c:ptCount val="16"/>
                <c:pt idx="0">
                  <c:v>2.86</c:v>
                </c:pt>
                <c:pt idx="1">
                  <c:v>2.73</c:v>
                </c:pt>
                <c:pt idx="2">
                  <c:v>2.68</c:v>
                </c:pt>
                <c:pt idx="3">
                  <c:v>2.62</c:v>
                </c:pt>
                <c:pt idx="4">
                  <c:v>2.54</c:v>
                </c:pt>
                <c:pt idx="5">
                  <c:v>2.4900000000000002</c:v>
                </c:pt>
                <c:pt idx="6">
                  <c:v>2.35</c:v>
                </c:pt>
                <c:pt idx="7">
                  <c:v>2.1800000000000002</c:v>
                </c:pt>
                <c:pt idx="8">
                  <c:v>2.0499999999999998</c:v>
                </c:pt>
                <c:pt idx="9">
                  <c:v>1.95</c:v>
                </c:pt>
                <c:pt idx="10">
                  <c:v>1.79</c:v>
                </c:pt>
                <c:pt idx="11">
                  <c:v>1.63</c:v>
                </c:pt>
                <c:pt idx="12">
                  <c:v>1.52</c:v>
                </c:pt>
                <c:pt idx="13">
                  <c:v>1.37</c:v>
                </c:pt>
                <c:pt idx="14">
                  <c:v>1.27</c:v>
                </c:pt>
                <c:pt idx="15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C-4F4E-9C3F-04964137F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612160"/>
        <c:axId val="1491604000"/>
      </c:scatterChart>
      <c:valAx>
        <c:axId val="149161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604000"/>
        <c:crosses val="autoZero"/>
        <c:crossBetween val="midCat"/>
      </c:valAx>
      <c:valAx>
        <c:axId val="14916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61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3</xdr:row>
      <xdr:rowOff>19050</xdr:rowOff>
    </xdr:from>
    <xdr:to>
      <xdr:col>12</xdr:col>
      <xdr:colOff>400050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12DBB5-69A9-4A31-6D2D-4F2290104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C710-5317-492F-A6D7-2C9A88C3E7C1}">
  <dimension ref="A2:C25"/>
  <sheetViews>
    <sheetView tabSelected="1" workbookViewId="0">
      <selection activeCell="A26" sqref="A26"/>
    </sheetView>
  </sheetViews>
  <sheetFormatPr defaultRowHeight="15" x14ac:dyDescent="0.25"/>
  <cols>
    <col min="1" max="1" width="18.5703125" bestFit="1" customWidth="1"/>
    <col min="3" max="3" width="10" bestFit="1" customWidth="1"/>
  </cols>
  <sheetData>
    <row r="2" spans="1:3" ht="30" x14ac:dyDescent="0.25">
      <c r="A2" s="6" t="s">
        <v>17</v>
      </c>
      <c r="B2" s="6" t="s">
        <v>14</v>
      </c>
      <c r="C2" s="5" t="s">
        <v>15</v>
      </c>
    </row>
    <row r="3" spans="1:3" x14ac:dyDescent="0.25">
      <c r="A3" t="s">
        <v>16</v>
      </c>
      <c r="B3">
        <v>2.93</v>
      </c>
      <c r="C3">
        <v>255</v>
      </c>
    </row>
    <row r="5" spans="1:3" x14ac:dyDescent="0.25">
      <c r="A5" s="8">
        <v>255</v>
      </c>
      <c r="B5">
        <v>2.86</v>
      </c>
    </row>
    <row r="6" spans="1:3" x14ac:dyDescent="0.25">
      <c r="A6">
        <v>243</v>
      </c>
      <c r="B6">
        <v>2.73</v>
      </c>
    </row>
    <row r="7" spans="1:3" x14ac:dyDescent="0.25">
      <c r="A7">
        <v>234</v>
      </c>
      <c r="B7">
        <v>2.68</v>
      </c>
    </row>
    <row r="8" spans="1:3" x14ac:dyDescent="0.25">
      <c r="A8">
        <v>224</v>
      </c>
      <c r="B8">
        <v>2.62</v>
      </c>
    </row>
    <row r="9" spans="1:3" x14ac:dyDescent="0.25">
      <c r="A9">
        <v>212</v>
      </c>
      <c r="B9">
        <v>2.54</v>
      </c>
    </row>
    <row r="10" spans="1:3" x14ac:dyDescent="0.25">
      <c r="A10">
        <v>205</v>
      </c>
      <c r="B10">
        <v>2.4900000000000002</v>
      </c>
    </row>
    <row r="11" spans="1:3" x14ac:dyDescent="0.25">
      <c r="A11">
        <v>183</v>
      </c>
      <c r="B11">
        <v>2.35</v>
      </c>
    </row>
    <row r="12" spans="1:3" x14ac:dyDescent="0.25">
      <c r="A12">
        <v>161</v>
      </c>
      <c r="B12">
        <v>2.1800000000000002</v>
      </c>
    </row>
    <row r="13" spans="1:3" x14ac:dyDescent="0.25">
      <c r="A13">
        <v>141</v>
      </c>
      <c r="B13">
        <v>2.0499999999999998</v>
      </c>
    </row>
    <row r="14" spans="1:3" x14ac:dyDescent="0.25">
      <c r="A14">
        <v>123</v>
      </c>
      <c r="B14">
        <v>1.95</v>
      </c>
    </row>
    <row r="15" spans="1:3" x14ac:dyDescent="0.25">
      <c r="A15">
        <v>97</v>
      </c>
      <c r="B15">
        <v>1.79</v>
      </c>
    </row>
    <row r="16" spans="1:3" x14ac:dyDescent="0.25">
      <c r="A16">
        <v>77</v>
      </c>
      <c r="B16">
        <v>1.63</v>
      </c>
    </row>
    <row r="17" spans="1:2" x14ac:dyDescent="0.25">
      <c r="A17">
        <v>58</v>
      </c>
      <c r="B17">
        <v>1.52</v>
      </c>
    </row>
    <row r="18" spans="1:2" x14ac:dyDescent="0.25">
      <c r="A18">
        <v>34</v>
      </c>
      <c r="B18">
        <v>1.37</v>
      </c>
    </row>
    <row r="19" spans="1:2" x14ac:dyDescent="0.25">
      <c r="A19">
        <v>20</v>
      </c>
      <c r="B19">
        <v>1.27</v>
      </c>
    </row>
    <row r="20" spans="1:2" x14ac:dyDescent="0.25">
      <c r="A20">
        <v>0</v>
      </c>
      <c r="B20">
        <v>1.1299999999999999</v>
      </c>
    </row>
    <row r="22" spans="1:2" x14ac:dyDescent="0.25">
      <c r="A22" s="7" t="s">
        <v>18</v>
      </c>
      <c r="B22">
        <v>0.28000000000000003</v>
      </c>
    </row>
    <row r="25" spans="1:2" x14ac:dyDescent="0.25">
      <c r="A25" t="s">
        <v>19</v>
      </c>
      <c r="B25">
        <f>AVERAGE(B5,B20)</f>
        <v>1.9949999999999999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F2B2-A809-4C0A-92AA-963F3BC68A8E}">
  <dimension ref="A1:G20"/>
  <sheetViews>
    <sheetView workbookViewId="0">
      <selection activeCell="G16" sqref="G16"/>
    </sheetView>
  </sheetViews>
  <sheetFormatPr defaultRowHeight="15" x14ac:dyDescent="0.25"/>
  <cols>
    <col min="1" max="1" width="16.5703125" bestFit="1" customWidth="1"/>
    <col min="6" max="6" width="14.140625" bestFit="1" customWidth="1"/>
  </cols>
  <sheetData>
    <row r="1" spans="1:7" x14ac:dyDescent="0.25">
      <c r="A1" t="s">
        <v>0</v>
      </c>
      <c r="B1">
        <v>1.0590999999999999</v>
      </c>
      <c r="F1" s="3" t="s">
        <v>10</v>
      </c>
      <c r="G1">
        <v>3.28</v>
      </c>
    </row>
    <row r="2" spans="1:7" x14ac:dyDescent="0.25">
      <c r="A2" t="s">
        <v>1</v>
      </c>
      <c r="B2">
        <v>7.5200000000000003E-2</v>
      </c>
      <c r="F2" s="3" t="s">
        <v>11</v>
      </c>
      <c r="G2">
        <v>2.93</v>
      </c>
    </row>
    <row r="3" spans="1:7" x14ac:dyDescent="0.25">
      <c r="A3" t="s">
        <v>2</v>
      </c>
      <c r="B3">
        <v>0.63290000000000002</v>
      </c>
      <c r="F3" s="3" t="s">
        <v>12</v>
      </c>
      <c r="G3">
        <v>1.48</v>
      </c>
    </row>
    <row r="4" spans="1:7" x14ac:dyDescent="0.25">
      <c r="A4" t="s">
        <v>3</v>
      </c>
      <c r="B4">
        <v>0.36709999999999998</v>
      </c>
      <c r="F4" s="3" t="s">
        <v>13</v>
      </c>
      <c r="G4">
        <f>G2-G3</f>
        <v>1.4500000000000002</v>
      </c>
    </row>
    <row r="7" spans="1:7" x14ac:dyDescent="0.25">
      <c r="A7" t="s">
        <v>4</v>
      </c>
      <c r="B7" s="1">
        <f>B3/B1</f>
        <v>0.59758285336606554</v>
      </c>
      <c r="C7" t="s">
        <v>6</v>
      </c>
    </row>
    <row r="9" spans="1:7" x14ac:dyDescent="0.25">
      <c r="A9" t="s">
        <v>5</v>
      </c>
      <c r="B9" s="1">
        <f>B4-B7*B2</f>
        <v>0.32216176942687186</v>
      </c>
      <c r="C9" t="s">
        <v>7</v>
      </c>
    </row>
    <row r="12" spans="1:7" x14ac:dyDescent="0.25">
      <c r="A12" t="s">
        <v>8</v>
      </c>
      <c r="B12">
        <v>0.8</v>
      </c>
    </row>
    <row r="13" spans="1:7" x14ac:dyDescent="0.25">
      <c r="B13">
        <f>cutoff*(1-cC)</f>
        <v>0.32193371730714759</v>
      </c>
      <c r="C13" t="s">
        <v>9</v>
      </c>
    </row>
    <row r="14" spans="1:7" x14ac:dyDescent="0.25">
      <c r="A14">
        <v>0</v>
      </c>
      <c r="E14" s="2">
        <f>A14</f>
        <v>0</v>
      </c>
      <c r="G14" s="4">
        <f t="shared" ref="G14:G20" si="0">BRK_OFF-BRK_RANGE*E14</f>
        <v>2.93</v>
      </c>
    </row>
    <row r="15" spans="1:7" x14ac:dyDescent="0.25">
      <c r="A15">
        <v>0.1</v>
      </c>
      <c r="E15" s="2">
        <f>A15</f>
        <v>0.1</v>
      </c>
      <c r="G15" s="4">
        <f t="shared" si="0"/>
        <v>2.7850000000000001</v>
      </c>
    </row>
    <row r="16" spans="1:7" x14ac:dyDescent="0.25">
      <c r="A16">
        <v>0.5</v>
      </c>
      <c r="B16" s="2"/>
      <c r="C16" s="2"/>
      <c r="D16" s="2"/>
      <c r="E16" s="2">
        <f>A16</f>
        <v>0.5</v>
      </c>
      <c r="G16" s="4">
        <f t="shared" si="0"/>
        <v>2.2050000000000001</v>
      </c>
    </row>
    <row r="17" spans="1:7" x14ac:dyDescent="0.25">
      <c r="A17">
        <v>0.8</v>
      </c>
      <c r="B17" s="2">
        <f>cB*((A17-intA)/cA)+intB</f>
        <v>0.80022805211972425</v>
      </c>
      <c r="C17" s="2">
        <f>cC*A17+intC</f>
        <v>0.80022805211972425</v>
      </c>
      <c r="D17" s="2">
        <f>0.8+ (A17-cutoff)*cC</f>
        <v>0.8</v>
      </c>
      <c r="E17" s="2">
        <f>cC*A17+intD</f>
        <v>0.8</v>
      </c>
      <c r="G17" s="4">
        <f t="shared" si="0"/>
        <v>1.77</v>
      </c>
    </row>
    <row r="18" spans="1:7" x14ac:dyDescent="0.25">
      <c r="A18">
        <v>0.9</v>
      </c>
      <c r="B18" s="2">
        <f>cB*((A18-intA)/cA)+intB</f>
        <v>0.8599863374563308</v>
      </c>
      <c r="C18" s="2">
        <f>cC*A18+intC</f>
        <v>0.8599863374563308</v>
      </c>
      <c r="D18" s="2">
        <f>0.8+ (A18-cutoff)*cC</f>
        <v>0.85975828533660659</v>
      </c>
      <c r="E18" s="2">
        <f>cC*A18+intD</f>
        <v>0.85975828533660659</v>
      </c>
      <c r="G18" s="4">
        <f t="shared" si="0"/>
        <v>1.6833504862619204</v>
      </c>
    </row>
    <row r="19" spans="1:7" x14ac:dyDescent="0.25">
      <c r="A19">
        <v>1</v>
      </c>
      <c r="B19" s="2">
        <f>cB*((A19-intA)/cA)+intB</f>
        <v>0.91974462279293745</v>
      </c>
      <c r="C19" s="2">
        <f>cC*A19+intC</f>
        <v>0.91974462279293734</v>
      </c>
      <c r="D19" s="2">
        <f>0.8+ (A19-cutoff)*cC</f>
        <v>0.91951657067321313</v>
      </c>
      <c r="E19" s="2">
        <f>cC*A19+intD</f>
        <v>0.91951657067321313</v>
      </c>
      <c r="G19" s="4">
        <f t="shared" si="0"/>
        <v>1.596700972523841</v>
      </c>
    </row>
    <row r="20" spans="1:7" x14ac:dyDescent="0.25">
      <c r="A20">
        <v>1</v>
      </c>
      <c r="E20" s="2">
        <f>A20</f>
        <v>1</v>
      </c>
      <c r="G20" s="4">
        <f t="shared" si="0"/>
        <v>1.48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testing</vt:lpstr>
      <vt:lpstr>formulas</vt:lpstr>
      <vt:lpstr>BRK_FULL</vt:lpstr>
      <vt:lpstr>BRK_OFF</vt:lpstr>
      <vt:lpstr>BRK_RANGE</vt:lpstr>
      <vt:lpstr>cA</vt:lpstr>
      <vt:lpstr>cB</vt:lpstr>
      <vt:lpstr>cC</vt:lpstr>
      <vt:lpstr>cutoff</vt:lpstr>
      <vt:lpstr>intA</vt:lpstr>
      <vt:lpstr>intB</vt:lpstr>
      <vt:lpstr>intC</vt:lpstr>
      <vt:lpstr>intD</vt:lpstr>
      <vt:lpstr>VCC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D</dc:creator>
  <cp:lastModifiedBy>Tomasz D</cp:lastModifiedBy>
  <dcterms:created xsi:type="dcterms:W3CDTF">2025-11-01T11:43:32Z</dcterms:created>
  <dcterms:modified xsi:type="dcterms:W3CDTF">2025-11-01T19:38:46Z</dcterms:modified>
</cp:coreProperties>
</file>